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Ref" sheetId="1" state="visible" r:id="rId1"/>
    <sheet xmlns:r="http://schemas.openxmlformats.org/officeDocument/2006/relationships" name="Sizing" sheetId="2" state="visible" r:id="rId2"/>
    <sheet xmlns:r="http://schemas.openxmlformats.org/officeDocument/2006/relationships" name="EdgeCalc" sheetId="3" state="visible" r:id="rId3"/>
    <sheet xmlns:r="http://schemas.openxmlformats.org/officeDocument/2006/relationships" name="Tracker" sheetId="4" state="visible" r:id="rId4"/>
    <sheet xmlns:r="http://schemas.openxmlformats.org/officeDocument/2006/relationships" name="PickC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0"/>
    <numFmt numFmtId="165" formatCode="0.0%"/>
    <numFmt numFmtId="166" formatCode="$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  <font>
      <color rgb="000000FF"/>
    </font>
    <font>
      <color rgb="00000000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3" fillId="0" borderId="1" pivotButton="0" quotePrefix="0" xfId="0"/>
    <xf numFmtId="164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4" fillId="4" borderId="1" applyAlignment="1" pivotButton="0" quotePrefix="0" xfId="0">
      <alignment horizontal="left" vertical="center"/>
    </xf>
    <xf numFmtId="0" fontId="6" fillId="0" borderId="1" pivotButton="0" quotePrefix="0" xfId="0"/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4" fillId="4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2" fontId="5" fillId="0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/>
    </xf>
    <xf numFmtId="165" fontId="3" fillId="6" borderId="1" applyAlignment="1" pivotButton="0" quotePrefix="0" xfId="0">
      <alignment horizontal="center"/>
    </xf>
    <xf numFmtId="2" fontId="0" fillId="0" borderId="1" pivotButton="0" quotePrefix="0" xfId="0"/>
    <xf numFmtId="166" fontId="4" fillId="4" borderId="1" applyAlignment="1" pivotButton="0" quotePrefix="0" xfId="0">
      <alignment horizontal="left" vertical="center"/>
    </xf>
    <xf numFmtId="166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JonnyParlayPicks — Survival System Dashboard</t>
        </is>
      </c>
    </row>
    <row r="3">
      <c r="A3" s="2" t="inlineStr">
        <is>
          <t>Inputs</t>
        </is>
      </c>
      <c r="D3" s="2" t="inlineStr">
        <is>
          <t>Auto Recommendations</t>
        </is>
      </c>
    </row>
    <row r="4">
      <c r="A4" s="3" t="inlineStr">
        <is>
          <t>Date</t>
        </is>
      </c>
      <c r="B4" s="4" t="inlineStr"/>
      <c r="D4" s="5" t="inlineStr">
        <is>
          <t>Daily Cap ($)</t>
        </is>
      </c>
      <c r="E4" s="6">
        <f>IF($B$10&gt;=7,50,IF($B$10&gt;=5,40,IF($B$10&gt;=3,36,30)))</f>
        <v/>
      </c>
    </row>
    <row r="5">
      <c r="A5" s="3" t="inlineStr">
        <is>
          <t>Profit ($)</t>
        </is>
      </c>
      <c r="B5" s="4" t="n">
        <v>0</v>
      </c>
      <c r="D5" s="5" t="inlineStr">
        <is>
          <t>Max Bet Size ($)</t>
        </is>
      </c>
      <c r="E5" s="6">
        <f>IF($B$10&gt;=7,20,IF($B$10&gt;=5,20,IF($B$10&gt;=3,18,15)))</f>
        <v/>
      </c>
    </row>
    <row r="6">
      <c r="A6" s="3" t="inlineStr">
        <is>
          <t>Record (W-L)</t>
        </is>
      </c>
      <c r="B6" s="4" t="inlineStr">
        <is>
          <t>0-0</t>
        </is>
      </c>
      <c r="D6" s="5" t="inlineStr">
        <is>
          <t>Picks/Day</t>
        </is>
      </c>
      <c r="E6" s="7">
        <f>IF($B$10&gt;=7,2,IF($B$10&gt;=5,2,IF($B$10&gt;=3,2,1)))</f>
        <v/>
      </c>
    </row>
    <row r="7">
      <c r="A7" s="3" t="inlineStr">
        <is>
          <t>Cushion ($)</t>
        </is>
      </c>
      <c r="B7" s="4" t="n">
        <v>0</v>
      </c>
      <c r="D7" s="5" t="inlineStr">
        <is>
          <t>Cushion Mode</t>
        </is>
      </c>
      <c r="E7" s="7">
        <f>IF(N($B$7)&gt;50,"Normal",IF(N($B$7)&gt;=35,"Reduce 20%","Max $15 / Pause"))</f>
        <v/>
      </c>
    </row>
    <row r="8">
      <c r="A8" s="3" t="inlineStr">
        <is>
          <t>Picks Done</t>
        </is>
      </c>
      <c r="B8" s="4" t="n">
        <v>0</v>
      </c>
    </row>
    <row r="9">
      <c r="A9" s="3" t="inlineStr">
        <is>
          <t>Picks Total</t>
        </is>
      </c>
      <c r="B9" s="4" t="n">
        <v>20</v>
      </c>
      <c r="D9" s="2" t="inlineStr">
        <is>
          <t>Reference — Picks-Left Adjustments</t>
        </is>
      </c>
    </row>
    <row r="10">
      <c r="A10" s="3" t="inlineStr">
        <is>
          <t>Picks Left</t>
        </is>
      </c>
      <c r="B10" s="8">
        <f>MAX(0,N(B9)-N(B8))</f>
        <v/>
      </c>
      <c r="D10" s="9" t="inlineStr">
        <is>
          <t>Picks Left</t>
        </is>
      </c>
      <c r="E10" s="9" t="inlineStr">
        <is>
          <t>Max Size</t>
        </is>
      </c>
      <c r="F10" s="9" t="inlineStr">
        <is>
          <t>Daily Cap</t>
        </is>
      </c>
      <c r="G10" s="9" t="inlineStr">
        <is>
          <t>Picks/Day</t>
        </is>
      </c>
    </row>
    <row r="11">
      <c r="A11" s="3" t="inlineStr">
        <is>
          <t>Mode</t>
        </is>
      </c>
      <c r="B11" s="4" t="inlineStr">
        <is>
          <t>SURVIVAL</t>
        </is>
      </c>
      <c r="D11" s="10" t="n">
        <v>7</v>
      </c>
      <c r="E11" s="11" t="n">
        <v>20</v>
      </c>
      <c r="F11" s="11" t="n">
        <v>50</v>
      </c>
      <c r="G11" s="10" t="inlineStr">
        <is>
          <t>2</t>
        </is>
      </c>
    </row>
    <row r="12">
      <c r="D12" s="10" t="n">
        <v>5</v>
      </c>
      <c r="E12" s="11" t="n">
        <v>20</v>
      </c>
      <c r="F12" s="11" t="n">
        <v>40</v>
      </c>
      <c r="G12" s="10" t="inlineStr">
        <is>
          <t>2</t>
        </is>
      </c>
    </row>
    <row r="13">
      <c r="D13" s="10" t="n">
        <v>3</v>
      </c>
      <c r="E13" s="11" t="n">
        <v>18</v>
      </c>
      <c r="F13" s="11" t="n">
        <v>36</v>
      </c>
      <c r="G13" s="10" t="inlineStr">
        <is>
          <t>1-2</t>
        </is>
      </c>
    </row>
    <row r="14">
      <c r="D14" s="10" t="n">
        <v>2</v>
      </c>
      <c r="E14" s="11" t="n">
        <v>15</v>
      </c>
      <c r="F14" s="11" t="n">
        <v>30</v>
      </c>
      <c r="G14" s="10" t="inlineStr">
        <is>
          <t>1</t>
        </is>
      </c>
    </row>
    <row r="15">
      <c r="D15" s="10" t="n">
        <v>1</v>
      </c>
      <c r="E15" s="11" t="n">
        <v>15</v>
      </c>
      <c r="F15" s="11" t="n">
        <v>30</v>
      </c>
      <c r="G15" s="10" t="inlineStr">
        <is>
          <t>1</t>
        </is>
      </c>
    </row>
  </sheetData>
  <mergeCells count="4">
    <mergeCell ref="D9:H9"/>
    <mergeCell ref="A3:B3"/>
    <mergeCell ref="D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6" customWidth="1" min="3" max="3"/>
    <col width="2" customWidth="1" min="4" max="4"/>
    <col width="28" customWidth="1" min="5" max="5"/>
    <col width="18" customWidth="1" min="6" max="6"/>
    <col width="18" customWidth="1" min="7" max="7"/>
    <col width="2" customWidth="1" min="8" max="8"/>
    <col width="2" customWidth="1" min="9" max="9"/>
  </cols>
  <sheetData>
    <row r="1" ht="28" customHeight="1">
      <c r="A1" s="1" t="inlineStr">
        <is>
          <t>Bet Sizing Engine (Conservative)</t>
        </is>
      </c>
    </row>
    <row r="3">
      <c r="A3" s="2" t="inlineStr">
        <is>
          <t>Inputs</t>
        </is>
      </c>
      <c r="E3" s="2" t="inlineStr">
        <is>
          <t>Outputs</t>
        </is>
      </c>
    </row>
    <row r="4">
      <c r="A4" s="5" t="inlineStr">
        <is>
          <t>Edge %</t>
        </is>
      </c>
      <c r="B4" s="12" t="n">
        <v>0</v>
      </c>
      <c r="C4" s="13" t="inlineStr">
        <is>
          <t>Enter edge as percent (e.g., 8.5%)</t>
        </is>
      </c>
      <c r="E4" s="5" t="inlineStr">
        <is>
          <t>Base Stake ($)</t>
        </is>
      </c>
      <c r="F4" s="14">
        <f>IF($B$5="LOW",IF($B$4&gt;=0.20,15,IF($B$4&gt;=0.15,12,IF($B$4&gt;=0.10,10,"SKIP"))),IF($B$5="HIGH",IF($B$4&gt;=0.20,20,IF($B$4&gt;=0.15,18,IF($B$4&gt;=0.10,16,IF($B$4&gt;=0.05,14,IF($B$4&gt;=0.03,12,"SKIP"))))),IF($B$4&gt;=0.20,18,IF($B$4&gt;=0.15,16,IF($B$4&gt;=0.10,14,IF($B$4&gt;=0.05,12,IF($B$4&gt;=0.03,10,"SKIP")))))))</f>
        <v/>
      </c>
    </row>
    <row r="5">
      <c r="A5" s="5" t="inlineStr">
        <is>
          <t>Confidence</t>
        </is>
      </c>
      <c r="B5" s="4" t="inlineStr">
        <is>
          <t>MED</t>
        </is>
      </c>
      <c r="C5" s="13" t="inlineStr">
        <is>
          <t>Choose: HIGH / MED / LOW</t>
        </is>
      </c>
      <c r="E5" s="5" t="inlineStr">
        <is>
          <t>Decision</t>
        </is>
      </c>
      <c r="F5" s="15">
        <f>IF($F$4="SKIP","SKIP","BET")</f>
        <v/>
      </c>
    </row>
    <row r="6">
      <c r="A6" s="5" t="inlineStr">
        <is>
          <t>Picks Left</t>
        </is>
      </c>
      <c r="B6" s="4" t="n">
        <v>7</v>
      </c>
      <c r="C6" s="13" t="inlineStr">
        <is>
          <t>Use your current picks left</t>
        </is>
      </c>
      <c r="E6" s="5" t="inlineStr">
        <is>
          <t>Cushion Modifier</t>
        </is>
      </c>
      <c r="F6" s="15">
        <f>IF(N($B$7)&lt;35,"MAX 15 / PAUSE",IF(N($B$7)&lt;50,"REDUCE 20%","NORMAL"))</f>
        <v/>
      </c>
    </row>
    <row r="7">
      <c r="A7" s="5" t="inlineStr">
        <is>
          <t>Cushion ($)</t>
        </is>
      </c>
      <c r="B7" s="16" t="n">
        <v>60</v>
      </c>
      <c r="C7" s="13" t="inlineStr">
        <is>
          <t>Distance from bust / drawdown</t>
        </is>
      </c>
      <c r="E7" s="5" t="inlineStr">
        <is>
          <t>Stake After Cushion ($)</t>
        </is>
      </c>
      <c r="F7" s="14">
        <f>IF($F$4="SKIP","SKIP",IF(N($B$7)&lt;35,MIN(15,$F$4),IF(N($B$7)&lt;50,ROUND($F$4*0.8,0),$F$4)))</f>
        <v/>
      </c>
    </row>
    <row r="8">
      <c r="E8" s="5" t="inlineStr">
        <is>
          <t>Max Size by Picks Left ($)</t>
        </is>
      </c>
      <c r="F8" s="14">
        <f>IF(N($B$6)&gt;=7,20,IF(N($B$6)&gt;=5,20,IF(N($B$6)&gt;=3,18,15)))</f>
        <v/>
      </c>
    </row>
    <row r="9">
      <c r="E9" s="5" t="inlineStr">
        <is>
          <t>Final Stake ($)</t>
        </is>
      </c>
      <c r="F9" s="17">
        <f>IF($F$7="SKIP","SKIP",MIN($F$7,$F$8))</f>
        <v/>
      </c>
    </row>
    <row r="10">
      <c r="A10" s="2" t="inlineStr">
        <is>
          <t>Sizing Table (reference)</t>
        </is>
      </c>
    </row>
    <row r="11">
      <c r="A11" s="9" t="inlineStr">
        <is>
          <t>Edge Band</t>
        </is>
      </c>
      <c r="B11" s="9" t="inlineStr">
        <is>
          <t>HIGH</t>
        </is>
      </c>
      <c r="C11" s="9" t="inlineStr">
        <is>
          <t>MED</t>
        </is>
      </c>
      <c r="D11" s="9" t="inlineStr">
        <is>
          <t>LOW</t>
        </is>
      </c>
    </row>
    <row r="12">
      <c r="A12" s="10" t="inlineStr">
        <is>
          <t>20%+</t>
        </is>
      </c>
      <c r="B12" s="11" t="n">
        <v>20</v>
      </c>
      <c r="C12" s="11" t="n">
        <v>18</v>
      </c>
      <c r="D12" s="11" t="n">
        <v>15</v>
      </c>
    </row>
    <row r="13">
      <c r="A13" s="10" t="inlineStr">
        <is>
          <t>15-20%</t>
        </is>
      </c>
      <c r="B13" s="11" t="n">
        <v>18</v>
      </c>
      <c r="C13" s="11" t="n">
        <v>16</v>
      </c>
      <c r="D13" s="11" t="n">
        <v>12</v>
      </c>
    </row>
    <row r="14">
      <c r="A14" s="10" t="inlineStr">
        <is>
          <t>10-15%</t>
        </is>
      </c>
      <c r="B14" s="11" t="n">
        <v>16</v>
      </c>
      <c r="C14" s="11" t="n">
        <v>14</v>
      </c>
      <c r="D14" s="11" t="n">
        <v>10</v>
      </c>
    </row>
    <row r="15">
      <c r="A15" s="10" t="inlineStr">
        <is>
          <t>5-10%</t>
        </is>
      </c>
      <c r="B15" s="11" t="n">
        <v>14</v>
      </c>
      <c r="C15" s="11" t="n">
        <v>12</v>
      </c>
      <c r="D15" s="18" t="inlineStr">
        <is>
          <t>SKIP</t>
        </is>
      </c>
    </row>
    <row r="16">
      <c r="A16" s="10" t="inlineStr">
        <is>
          <t>3-5%</t>
        </is>
      </c>
      <c r="B16" s="11" t="n">
        <v>12</v>
      </c>
      <c r="C16" s="11" t="n">
        <v>10</v>
      </c>
      <c r="D16" s="18" t="inlineStr">
        <is>
          <t>SKIP</t>
        </is>
      </c>
    </row>
    <row r="17">
      <c r="A17" s="10" t="inlineStr">
        <is>
          <t>&lt;3%</t>
        </is>
      </c>
      <c r="B17" s="18" t="inlineStr">
        <is>
          <t>SKIP</t>
        </is>
      </c>
      <c r="C17" s="18" t="inlineStr">
        <is>
          <t>SKIP</t>
        </is>
      </c>
      <c r="D17" s="18" t="inlineStr">
        <is>
          <t>SKIP</t>
        </is>
      </c>
    </row>
  </sheetData>
  <mergeCells count="4">
    <mergeCell ref="A1:I1"/>
    <mergeCell ref="A10:D10"/>
    <mergeCell ref="A3:C3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30" customWidth="1" min="10" max="10"/>
    <col width="12" customWidth="1" min="12" max="12"/>
    <col width="10" customWidth="1" min="13" max="13"/>
  </cols>
  <sheetData>
    <row r="1" ht="28" customHeight="1">
      <c r="A1" s="1" t="inlineStr">
        <is>
          <t>Edge Calculator (Tier-1)</t>
        </is>
      </c>
    </row>
    <row r="3">
      <c r="A3" s="2" t="inlineStr">
        <is>
          <t>Inputs (blue) → Outputs (green). Uses a normal approximation and per-stat standard deviations.</t>
        </is>
      </c>
    </row>
    <row r="4" ht="32" customHeight="1">
      <c r="A4" s="9" t="inlineStr">
        <is>
          <t>Stat Type</t>
        </is>
      </c>
      <c r="B4" s="9" t="inlineStr">
        <is>
          <t>Side</t>
        </is>
      </c>
      <c r="C4" s="9" t="inlineStr">
        <is>
          <t>Line</t>
        </is>
      </c>
      <c r="D4" s="9" t="inlineStr">
        <is>
          <t>Your Projection</t>
        </is>
      </c>
      <c r="E4" s="9" t="inlineStr">
        <is>
          <t>Std Dev</t>
        </is>
      </c>
      <c r="F4" s="9" t="inlineStr">
        <is>
          <t>Odds</t>
        </is>
      </c>
      <c r="G4" s="9" t="inlineStr">
        <is>
          <t>Implied %</t>
        </is>
      </c>
      <c r="H4" s="9" t="inlineStr">
        <is>
          <t>Win %</t>
        </is>
      </c>
      <c r="I4" s="9" t="inlineStr">
        <is>
          <t>Edge %</t>
        </is>
      </c>
      <c r="J4" s="9" t="inlineStr">
        <is>
          <t>Notes</t>
        </is>
      </c>
      <c r="L4" s="19" t="inlineStr">
        <is>
          <t>Std Devs</t>
        </is>
      </c>
      <c r="M4" s="20" t="n"/>
    </row>
    <row r="5">
      <c r="A5" s="4" t="inlineStr">
        <is>
          <t>SOG</t>
        </is>
      </c>
      <c r="B5" s="4" t="inlineStr">
        <is>
          <t>UNDER</t>
        </is>
      </c>
      <c r="C5" s="4" t="n">
        <v>2.5</v>
      </c>
      <c r="D5" s="4" t="n">
        <v>2</v>
      </c>
      <c r="E5" s="21">
        <f>IF(A5="SOG",$M$5,IF(A5="AST",$M$6,IF(A5="REB",$M$7,IF(A5="REC",$M$8,0.50))))</f>
        <v/>
      </c>
      <c r="F5" s="4" t="n">
        <v>-110</v>
      </c>
      <c r="G5" s="22">
        <f>IF(F5&lt;0,ABS(F5)/(ABS(F5)+100),100/(F5+100))</f>
        <v/>
      </c>
      <c r="H5" s="22">
        <f>IF(B5="UNDER",NORM.DIST(C5,D5,E5,TRUE),1-NORM.DIST(C5,D5,E5,TRUE))</f>
        <v/>
      </c>
      <c r="I5" s="23">
        <f>H5-G5</f>
        <v/>
      </c>
      <c r="J5" s="20" t="inlineStr"/>
      <c r="L5" s="20" t="inlineStr">
        <is>
          <t>SOG</t>
        </is>
      </c>
      <c r="M5" s="24" t="n">
        <v>0.55</v>
      </c>
    </row>
    <row r="6">
      <c r="A6" s="4" t="inlineStr">
        <is>
          <t>SOG</t>
        </is>
      </c>
      <c r="B6" s="4" t="inlineStr">
        <is>
          <t>UNDER</t>
        </is>
      </c>
      <c r="C6" s="4" t="n">
        <v>2.5</v>
      </c>
      <c r="D6" s="4" t="n">
        <v>2</v>
      </c>
      <c r="E6" s="21">
        <f>IF(A6="SOG",$M$5,IF(A6="AST",$M$6,IF(A6="REB",$M$7,IF(A6="REC",$M$8,0.50))))</f>
        <v/>
      </c>
      <c r="F6" s="4" t="n">
        <v>-110</v>
      </c>
      <c r="G6" s="22">
        <f>IF(F6&lt;0,ABS(F6)/(ABS(F6)+100),100/(F6+100))</f>
        <v/>
      </c>
      <c r="H6" s="22">
        <f>IF(B6="UNDER",NORM.DIST(C6,D6,E6,TRUE),1-NORM.DIST(C6,D6,E6,TRUE))</f>
        <v/>
      </c>
      <c r="I6" s="23">
        <f>H6-G6</f>
        <v/>
      </c>
      <c r="J6" s="20" t="inlineStr"/>
      <c r="L6" s="20" t="inlineStr">
        <is>
          <t>AST</t>
        </is>
      </c>
      <c r="M6" s="24" t="n">
        <v>0.45</v>
      </c>
    </row>
    <row r="7">
      <c r="A7" s="4" t="inlineStr">
        <is>
          <t>SOG</t>
        </is>
      </c>
      <c r="B7" s="4" t="inlineStr">
        <is>
          <t>UNDER</t>
        </is>
      </c>
      <c r="C7" s="4" t="n">
        <v>2.5</v>
      </c>
      <c r="D7" s="4" t="n">
        <v>2</v>
      </c>
      <c r="E7" s="21">
        <f>IF(A7="SOG",$M$5,IF(A7="AST",$M$6,IF(A7="REB",$M$7,IF(A7="REC",$M$8,0.50))))</f>
        <v/>
      </c>
      <c r="F7" s="4" t="n">
        <v>-110</v>
      </c>
      <c r="G7" s="22">
        <f>IF(F7&lt;0,ABS(F7)/(ABS(F7)+100),100/(F7+100))</f>
        <v/>
      </c>
      <c r="H7" s="22">
        <f>IF(B7="UNDER",NORM.DIST(C7,D7,E7,TRUE),1-NORM.DIST(C7,D7,E7,TRUE))</f>
        <v/>
      </c>
      <c r="I7" s="23">
        <f>H7-G7</f>
        <v/>
      </c>
      <c r="J7" s="20" t="inlineStr"/>
      <c r="L7" s="20" t="inlineStr">
        <is>
          <t>REB</t>
        </is>
      </c>
      <c r="M7" s="24" t="n">
        <v>0.4</v>
      </c>
    </row>
    <row r="8">
      <c r="A8" s="4" t="inlineStr">
        <is>
          <t>SOG</t>
        </is>
      </c>
      <c r="B8" s="4" t="inlineStr">
        <is>
          <t>UNDER</t>
        </is>
      </c>
      <c r="C8" s="4" t="n">
        <v>2.5</v>
      </c>
      <c r="D8" s="4" t="n">
        <v>2</v>
      </c>
      <c r="E8" s="21">
        <f>IF(A8="SOG",$M$5,IF(A8="AST",$M$6,IF(A8="REB",$M$7,IF(A8="REC",$M$8,0.50))))</f>
        <v/>
      </c>
      <c r="F8" s="4" t="n">
        <v>-110</v>
      </c>
      <c r="G8" s="22">
        <f>IF(F8&lt;0,ABS(F8)/(ABS(F8)+100),100/(F8+100))</f>
        <v/>
      </c>
      <c r="H8" s="22">
        <f>IF(B8="UNDER",NORM.DIST(C8,D8,E8,TRUE),1-NORM.DIST(C8,D8,E8,TRUE))</f>
        <v/>
      </c>
      <c r="I8" s="23">
        <f>H8-G8</f>
        <v/>
      </c>
      <c r="J8" s="20" t="inlineStr"/>
      <c r="L8" s="20" t="inlineStr">
        <is>
          <t>REC</t>
        </is>
      </c>
      <c r="M8" s="24" t="n">
        <v>0.5</v>
      </c>
    </row>
    <row r="9">
      <c r="A9" s="4" t="inlineStr">
        <is>
          <t>SOG</t>
        </is>
      </c>
      <c r="B9" s="4" t="inlineStr">
        <is>
          <t>UNDER</t>
        </is>
      </c>
      <c r="C9" s="4" t="n">
        <v>2.5</v>
      </c>
      <c r="D9" s="4" t="n">
        <v>2</v>
      </c>
      <c r="E9" s="21">
        <f>IF(A9="SOG",$M$5,IF(A9="AST",$M$6,IF(A9="REB",$M$7,IF(A9="REC",$M$8,0.50))))</f>
        <v/>
      </c>
      <c r="F9" s="4" t="n">
        <v>-110</v>
      </c>
      <c r="G9" s="22">
        <f>IF(F9&lt;0,ABS(F9)/(ABS(F9)+100),100/(F9+100))</f>
        <v/>
      </c>
      <c r="H9" s="22">
        <f>IF(B9="UNDER",NORM.DIST(C9,D9,E9,TRUE),1-NORM.DIST(C9,D9,E9,TRUE))</f>
        <v/>
      </c>
      <c r="I9" s="23">
        <f>H9-G9</f>
        <v/>
      </c>
      <c r="J9" s="20" t="inlineStr"/>
    </row>
    <row r="10">
      <c r="A10" s="4" t="inlineStr">
        <is>
          <t>SOG</t>
        </is>
      </c>
      <c r="B10" s="4" t="inlineStr">
        <is>
          <t>UNDER</t>
        </is>
      </c>
      <c r="C10" s="4" t="n">
        <v>2.5</v>
      </c>
      <c r="D10" s="4" t="n">
        <v>2</v>
      </c>
      <c r="E10" s="21">
        <f>IF(A10="SOG",$M$5,IF(A10="AST",$M$6,IF(A10="REB",$M$7,IF(A10="REC",$M$8,0.50))))</f>
        <v/>
      </c>
      <c r="F10" s="4" t="n">
        <v>-110</v>
      </c>
      <c r="G10" s="22">
        <f>IF(F10&lt;0,ABS(F10)/(ABS(F10)+100),100/(F10+100))</f>
        <v/>
      </c>
      <c r="H10" s="22">
        <f>IF(B10="UNDER",NORM.DIST(C10,D10,E10,TRUE),1-NORM.DIST(C10,D10,E10,TRUE))</f>
        <v/>
      </c>
      <c r="I10" s="23">
        <f>H10-G10</f>
        <v/>
      </c>
      <c r="J10" s="20" t="inlineStr"/>
    </row>
    <row r="11">
      <c r="A11" s="4" t="inlineStr">
        <is>
          <t>SOG</t>
        </is>
      </c>
      <c r="B11" s="4" t="inlineStr">
        <is>
          <t>UNDER</t>
        </is>
      </c>
      <c r="C11" s="4" t="n">
        <v>2.5</v>
      </c>
      <c r="D11" s="4" t="n">
        <v>2</v>
      </c>
      <c r="E11" s="21">
        <f>IF(A11="SOG",$M$5,IF(A11="AST",$M$6,IF(A11="REB",$M$7,IF(A11="REC",$M$8,0.50))))</f>
        <v/>
      </c>
      <c r="F11" s="4" t="n">
        <v>-110</v>
      </c>
      <c r="G11" s="22">
        <f>IF(F11&lt;0,ABS(F11)/(ABS(F11)+100),100/(F11+100))</f>
        <v/>
      </c>
      <c r="H11" s="22">
        <f>IF(B11="UNDER",NORM.DIST(C11,D11,E11,TRUE),1-NORM.DIST(C11,D11,E11,TRUE))</f>
        <v/>
      </c>
      <c r="I11" s="23">
        <f>H11-G11</f>
        <v/>
      </c>
      <c r="J11" s="20" t="inlineStr"/>
    </row>
    <row r="12">
      <c r="A12" s="4" t="inlineStr">
        <is>
          <t>SOG</t>
        </is>
      </c>
      <c r="B12" s="4" t="inlineStr">
        <is>
          <t>UNDER</t>
        </is>
      </c>
      <c r="C12" s="4" t="n">
        <v>2.5</v>
      </c>
      <c r="D12" s="4" t="n">
        <v>2</v>
      </c>
      <c r="E12" s="21">
        <f>IF(A12="SOG",$M$5,IF(A12="AST",$M$6,IF(A12="REB",$M$7,IF(A12="REC",$M$8,0.50))))</f>
        <v/>
      </c>
      <c r="F12" s="4" t="n">
        <v>-110</v>
      </c>
      <c r="G12" s="22">
        <f>IF(F12&lt;0,ABS(F12)/(ABS(F12)+100),100/(F12+100))</f>
        <v/>
      </c>
      <c r="H12" s="22">
        <f>IF(B12="UNDER",NORM.DIST(C12,D12,E12,TRUE),1-NORM.DIST(C12,D12,E12,TRUE))</f>
        <v/>
      </c>
      <c r="I12" s="23">
        <f>H12-G12</f>
        <v/>
      </c>
      <c r="J12" s="20" t="inlineStr"/>
    </row>
    <row r="13">
      <c r="A13" s="4" t="inlineStr">
        <is>
          <t>SOG</t>
        </is>
      </c>
      <c r="B13" s="4" t="inlineStr">
        <is>
          <t>UNDER</t>
        </is>
      </c>
      <c r="C13" s="4" t="n">
        <v>2.5</v>
      </c>
      <c r="D13" s="4" t="n">
        <v>2</v>
      </c>
      <c r="E13" s="21">
        <f>IF(A13="SOG",$M$5,IF(A13="AST",$M$6,IF(A13="REB",$M$7,IF(A13="REC",$M$8,0.50))))</f>
        <v/>
      </c>
      <c r="F13" s="4" t="n">
        <v>-110</v>
      </c>
      <c r="G13" s="22">
        <f>IF(F13&lt;0,ABS(F13)/(ABS(F13)+100),100/(F13+100))</f>
        <v/>
      </c>
      <c r="H13" s="22">
        <f>IF(B13="UNDER",NORM.DIST(C13,D13,E13,TRUE),1-NORM.DIST(C13,D13,E13,TRUE))</f>
        <v/>
      </c>
      <c r="I13" s="23">
        <f>H13-G13</f>
        <v/>
      </c>
      <c r="J13" s="20" t="inlineStr"/>
    </row>
    <row r="14">
      <c r="A14" s="4" t="inlineStr">
        <is>
          <t>SOG</t>
        </is>
      </c>
      <c r="B14" s="4" t="inlineStr">
        <is>
          <t>UNDER</t>
        </is>
      </c>
      <c r="C14" s="4" t="n">
        <v>2.5</v>
      </c>
      <c r="D14" s="4" t="n">
        <v>2</v>
      </c>
      <c r="E14" s="21">
        <f>IF(A14="SOG",$M$5,IF(A14="AST",$M$6,IF(A14="REB",$M$7,IF(A14="REC",$M$8,0.50))))</f>
        <v/>
      </c>
      <c r="F14" s="4" t="n">
        <v>-110</v>
      </c>
      <c r="G14" s="22">
        <f>IF(F14&lt;0,ABS(F14)/(ABS(F14)+100),100/(F14+100))</f>
        <v/>
      </c>
      <c r="H14" s="22">
        <f>IF(B14="UNDER",NORM.DIST(C14,D14,E14,TRUE),1-NORM.DIST(C14,D14,E14,TRUE))</f>
        <v/>
      </c>
      <c r="I14" s="23">
        <f>H14-G14</f>
        <v/>
      </c>
      <c r="J14" s="20" t="inlineStr"/>
    </row>
    <row r="15">
      <c r="A15" s="4" t="inlineStr">
        <is>
          <t>SOG</t>
        </is>
      </c>
      <c r="B15" s="4" t="inlineStr">
        <is>
          <t>UNDER</t>
        </is>
      </c>
      <c r="C15" s="4" t="n">
        <v>2.5</v>
      </c>
      <c r="D15" s="4" t="n">
        <v>2</v>
      </c>
      <c r="E15" s="21">
        <f>IF(A15="SOG",$M$5,IF(A15="AST",$M$6,IF(A15="REB",$M$7,IF(A15="REC",$M$8,0.50))))</f>
        <v/>
      </c>
      <c r="F15" s="4" t="n">
        <v>-110</v>
      </c>
      <c r="G15" s="22">
        <f>IF(F15&lt;0,ABS(F15)/(ABS(F15)+100),100/(F15+100))</f>
        <v/>
      </c>
      <c r="H15" s="22">
        <f>IF(B15="UNDER",NORM.DIST(C15,D15,E15,TRUE),1-NORM.DIST(C15,D15,E15,TRUE))</f>
        <v/>
      </c>
      <c r="I15" s="23">
        <f>H15-G15</f>
        <v/>
      </c>
      <c r="J15" s="20" t="inlineStr"/>
    </row>
    <row r="16">
      <c r="A16" s="4" t="inlineStr">
        <is>
          <t>SOG</t>
        </is>
      </c>
      <c r="B16" s="4" t="inlineStr">
        <is>
          <t>UNDER</t>
        </is>
      </c>
      <c r="C16" s="4" t="n">
        <v>2.5</v>
      </c>
      <c r="D16" s="4" t="n">
        <v>2</v>
      </c>
      <c r="E16" s="21">
        <f>IF(A16="SOG",$M$5,IF(A16="AST",$M$6,IF(A16="REB",$M$7,IF(A16="REC",$M$8,0.50))))</f>
        <v/>
      </c>
      <c r="F16" s="4" t="n">
        <v>-110</v>
      </c>
      <c r="G16" s="22">
        <f>IF(F16&lt;0,ABS(F16)/(ABS(F16)+100),100/(F16+100))</f>
        <v/>
      </c>
      <c r="H16" s="22">
        <f>IF(B16="UNDER",NORM.DIST(C16,D16,E16,TRUE),1-NORM.DIST(C16,D16,E16,TRUE))</f>
        <v/>
      </c>
      <c r="I16" s="23">
        <f>H16-G16</f>
        <v/>
      </c>
      <c r="J16" s="20" t="inlineStr"/>
    </row>
    <row r="17">
      <c r="A17" s="4" t="inlineStr">
        <is>
          <t>SOG</t>
        </is>
      </c>
      <c r="B17" s="4" t="inlineStr">
        <is>
          <t>UNDER</t>
        </is>
      </c>
      <c r="C17" s="4" t="n">
        <v>2.5</v>
      </c>
      <c r="D17" s="4" t="n">
        <v>2</v>
      </c>
      <c r="E17" s="21">
        <f>IF(A17="SOG",$M$5,IF(A17="AST",$M$6,IF(A17="REB",$M$7,IF(A17="REC",$M$8,0.50))))</f>
        <v/>
      </c>
      <c r="F17" s="4" t="n">
        <v>-110</v>
      </c>
      <c r="G17" s="22">
        <f>IF(F17&lt;0,ABS(F17)/(ABS(F17)+100),100/(F17+100))</f>
        <v/>
      </c>
      <c r="H17" s="22">
        <f>IF(B17="UNDER",NORM.DIST(C17,D17,E17,TRUE),1-NORM.DIST(C17,D17,E17,TRUE))</f>
        <v/>
      </c>
      <c r="I17" s="23">
        <f>H17-G17</f>
        <v/>
      </c>
      <c r="J17" s="20" t="inlineStr"/>
    </row>
    <row r="18">
      <c r="A18" s="4" t="inlineStr">
        <is>
          <t>SOG</t>
        </is>
      </c>
      <c r="B18" s="4" t="inlineStr">
        <is>
          <t>UNDER</t>
        </is>
      </c>
      <c r="C18" s="4" t="n">
        <v>2.5</v>
      </c>
      <c r="D18" s="4" t="n">
        <v>2</v>
      </c>
      <c r="E18" s="21">
        <f>IF(A18="SOG",$M$5,IF(A18="AST",$M$6,IF(A18="REB",$M$7,IF(A18="REC",$M$8,0.50))))</f>
        <v/>
      </c>
      <c r="F18" s="4" t="n">
        <v>-110</v>
      </c>
      <c r="G18" s="22">
        <f>IF(F18&lt;0,ABS(F18)/(ABS(F18)+100),100/(F18+100))</f>
        <v/>
      </c>
      <c r="H18" s="22">
        <f>IF(B18="UNDER",NORM.DIST(C18,D18,E18,TRUE),1-NORM.DIST(C18,D18,E18,TRUE))</f>
        <v/>
      </c>
      <c r="I18" s="23">
        <f>H18-G18</f>
        <v/>
      </c>
      <c r="J18" s="20" t="inlineStr"/>
    </row>
    <row r="19">
      <c r="A19" s="4" t="inlineStr">
        <is>
          <t>SOG</t>
        </is>
      </c>
      <c r="B19" s="4" t="inlineStr">
        <is>
          <t>UNDER</t>
        </is>
      </c>
      <c r="C19" s="4" t="n">
        <v>2.5</v>
      </c>
      <c r="D19" s="4" t="n">
        <v>2</v>
      </c>
      <c r="E19" s="21">
        <f>IF(A19="SOG",$M$5,IF(A19="AST",$M$6,IF(A19="REB",$M$7,IF(A19="REC",$M$8,0.50))))</f>
        <v/>
      </c>
      <c r="F19" s="4" t="n">
        <v>-110</v>
      </c>
      <c r="G19" s="22">
        <f>IF(F19&lt;0,ABS(F19)/(ABS(F19)+100),100/(F19+100))</f>
        <v/>
      </c>
      <c r="H19" s="22">
        <f>IF(B19="UNDER",NORM.DIST(C19,D19,E19,TRUE),1-NORM.DIST(C19,D19,E19,TRUE))</f>
        <v/>
      </c>
      <c r="I19" s="23">
        <f>H19-G19</f>
        <v/>
      </c>
      <c r="J19" s="20" t="inlineStr"/>
    </row>
    <row r="20">
      <c r="A20" s="4" t="inlineStr">
        <is>
          <t>SOG</t>
        </is>
      </c>
      <c r="B20" s="4" t="inlineStr">
        <is>
          <t>UNDER</t>
        </is>
      </c>
      <c r="C20" s="4" t="n">
        <v>2.5</v>
      </c>
      <c r="D20" s="4" t="n">
        <v>2</v>
      </c>
      <c r="E20" s="21">
        <f>IF(A20="SOG",$M$5,IF(A20="AST",$M$6,IF(A20="REB",$M$7,IF(A20="REC",$M$8,0.50))))</f>
        <v/>
      </c>
      <c r="F20" s="4" t="n">
        <v>-110</v>
      </c>
      <c r="G20" s="22">
        <f>IF(F20&lt;0,ABS(F20)/(ABS(F20)+100),100/(F20+100))</f>
        <v/>
      </c>
      <c r="H20" s="22">
        <f>IF(B20="UNDER",NORM.DIST(C20,D20,E20,TRUE),1-NORM.DIST(C20,D20,E20,TRUE))</f>
        <v/>
      </c>
      <c r="I20" s="23">
        <f>H20-G20</f>
        <v/>
      </c>
      <c r="J20" s="20" t="inlineStr"/>
    </row>
    <row r="21">
      <c r="A21" s="4" t="inlineStr">
        <is>
          <t>SOG</t>
        </is>
      </c>
      <c r="B21" s="4" t="inlineStr">
        <is>
          <t>UNDER</t>
        </is>
      </c>
      <c r="C21" s="4" t="n">
        <v>2.5</v>
      </c>
      <c r="D21" s="4" t="n">
        <v>2</v>
      </c>
      <c r="E21" s="21">
        <f>IF(A21="SOG",$M$5,IF(A21="AST",$M$6,IF(A21="REB",$M$7,IF(A21="REC",$M$8,0.50))))</f>
        <v/>
      </c>
      <c r="F21" s="4" t="n">
        <v>-110</v>
      </c>
      <c r="G21" s="22">
        <f>IF(F21&lt;0,ABS(F21)/(ABS(F21)+100),100/(F21+100))</f>
        <v/>
      </c>
      <c r="H21" s="22">
        <f>IF(B21="UNDER",NORM.DIST(C21,D21,E21,TRUE),1-NORM.DIST(C21,D21,E21,TRUE))</f>
        <v/>
      </c>
      <c r="I21" s="23">
        <f>H21-G21</f>
        <v/>
      </c>
      <c r="J21" s="20" t="inlineStr"/>
    </row>
    <row r="22">
      <c r="A22" s="4" t="inlineStr">
        <is>
          <t>SOG</t>
        </is>
      </c>
      <c r="B22" s="4" t="inlineStr">
        <is>
          <t>UNDER</t>
        </is>
      </c>
      <c r="C22" s="4" t="n">
        <v>2.5</v>
      </c>
      <c r="D22" s="4" t="n">
        <v>2</v>
      </c>
      <c r="E22" s="21">
        <f>IF(A22="SOG",$M$5,IF(A22="AST",$M$6,IF(A22="REB",$M$7,IF(A22="REC",$M$8,0.50))))</f>
        <v/>
      </c>
      <c r="F22" s="4" t="n">
        <v>-110</v>
      </c>
      <c r="G22" s="22">
        <f>IF(F22&lt;0,ABS(F22)/(ABS(F22)+100),100/(F22+100))</f>
        <v/>
      </c>
      <c r="H22" s="22">
        <f>IF(B22="UNDER",NORM.DIST(C22,D22,E22,TRUE),1-NORM.DIST(C22,D22,E22,TRUE))</f>
        <v/>
      </c>
      <c r="I22" s="23">
        <f>H22-G22</f>
        <v/>
      </c>
      <c r="J22" s="20" t="inlineStr"/>
    </row>
    <row r="23">
      <c r="A23" s="4" t="inlineStr">
        <is>
          <t>SOG</t>
        </is>
      </c>
      <c r="B23" s="4" t="inlineStr">
        <is>
          <t>UNDER</t>
        </is>
      </c>
      <c r="C23" s="4" t="n">
        <v>2.5</v>
      </c>
      <c r="D23" s="4" t="n">
        <v>2</v>
      </c>
      <c r="E23" s="21">
        <f>IF(A23="SOG",$M$5,IF(A23="AST",$M$6,IF(A23="REB",$M$7,IF(A23="REC",$M$8,0.50))))</f>
        <v/>
      </c>
      <c r="F23" s="4" t="n">
        <v>-110</v>
      </c>
      <c r="G23" s="22">
        <f>IF(F23&lt;0,ABS(F23)/(ABS(F23)+100),100/(F23+100))</f>
        <v/>
      </c>
      <c r="H23" s="22">
        <f>IF(B23="UNDER",NORM.DIST(C23,D23,E23,TRUE),1-NORM.DIST(C23,D23,E23,TRUE))</f>
        <v/>
      </c>
      <c r="I23" s="23">
        <f>H23-G23</f>
        <v/>
      </c>
      <c r="J23" s="20" t="inlineStr"/>
    </row>
    <row r="24">
      <c r="A24" s="4" t="inlineStr">
        <is>
          <t>SOG</t>
        </is>
      </c>
      <c r="B24" s="4" t="inlineStr">
        <is>
          <t>UNDER</t>
        </is>
      </c>
      <c r="C24" s="4" t="n">
        <v>2.5</v>
      </c>
      <c r="D24" s="4" t="n">
        <v>2</v>
      </c>
      <c r="E24" s="21">
        <f>IF(A24="SOG",$M$5,IF(A24="AST",$M$6,IF(A24="REB",$M$7,IF(A24="REC",$M$8,0.50))))</f>
        <v/>
      </c>
      <c r="F24" s="4" t="n">
        <v>-110</v>
      </c>
      <c r="G24" s="22">
        <f>IF(F24&lt;0,ABS(F24)/(ABS(F24)+100),100/(F24+100))</f>
        <v/>
      </c>
      <c r="H24" s="22">
        <f>IF(B24="UNDER",NORM.DIST(C24,D24,E24,TRUE),1-NORM.DIST(C24,D24,E24,TRUE))</f>
        <v/>
      </c>
      <c r="I24" s="23">
        <f>H24-G24</f>
        <v/>
      </c>
      <c r="J24" s="20" t="inlineStr"/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14" customWidth="1" min="4" max="4"/>
    <col width="16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1" t="inlineStr">
        <is>
          <t>Daily Log / Bankroll Tracker</t>
        </is>
      </c>
    </row>
    <row r="2">
      <c r="A2" s="5" t="inlineStr">
        <is>
          <t>Starting Cushion ($)</t>
        </is>
      </c>
      <c r="B2" s="25" t="n">
        <v>0</v>
      </c>
    </row>
    <row r="3" ht="28" customHeight="1">
      <c r="A3" s="9" t="inlineStr">
        <is>
          <t>Date</t>
        </is>
      </c>
      <c r="B3" s="9" t="inlineStr">
        <is>
          <t>W</t>
        </is>
      </c>
      <c r="C3" s="9" t="inlineStr">
        <is>
          <t>L</t>
        </is>
      </c>
      <c r="D3" s="9" t="inlineStr">
        <is>
          <t>Daily P/L ($)</t>
        </is>
      </c>
      <c r="E3" s="9" t="inlineStr">
        <is>
          <t>Total Profit ($)</t>
        </is>
      </c>
      <c r="F3" s="9" t="inlineStr">
        <is>
          <t>Cushion ($)</t>
        </is>
      </c>
      <c r="G3" s="9" t="inlineStr">
        <is>
          <t>Picks Done</t>
        </is>
      </c>
      <c r="H3" s="9" t="inlineStr">
        <is>
          <t>Notes</t>
        </is>
      </c>
    </row>
    <row r="4">
      <c r="A4" s="4" t="n"/>
      <c r="B4" s="4" t="n"/>
      <c r="C4" s="4" t="n"/>
      <c r="D4" s="4" t="n"/>
      <c r="E4" s="26">
        <f>N(D4)</f>
        <v/>
      </c>
      <c r="F4" s="26">
        <f>N($B$2)+N(E4)</f>
        <v/>
      </c>
      <c r="G4" s="15">
        <f>N(B4)+N(C4)</f>
        <v/>
      </c>
      <c r="H4" s="4" t="n"/>
    </row>
    <row r="5">
      <c r="A5" s="4" t="n"/>
      <c r="B5" s="4" t="n"/>
      <c r="C5" s="4" t="n"/>
      <c r="D5" s="4" t="n"/>
      <c r="E5" s="26">
        <f>N(E4)+N(D5)</f>
        <v/>
      </c>
      <c r="F5" s="26">
        <f>N($B$2)+N(E5)</f>
        <v/>
      </c>
      <c r="G5" s="15">
        <f>N(G4)+N(B5)+N(C5)</f>
        <v/>
      </c>
      <c r="H5" s="4" t="n"/>
    </row>
    <row r="6">
      <c r="A6" s="4" t="n"/>
      <c r="B6" s="4" t="n"/>
      <c r="C6" s="4" t="n"/>
      <c r="D6" s="4" t="n"/>
      <c r="E6" s="26">
        <f>N(E5)+N(D6)</f>
        <v/>
      </c>
      <c r="F6" s="26">
        <f>N($B$2)+N(E6)</f>
        <v/>
      </c>
      <c r="G6" s="15">
        <f>N(G5)+N(B6)+N(C6)</f>
        <v/>
      </c>
      <c r="H6" s="4" t="n"/>
    </row>
    <row r="7">
      <c r="A7" s="4" t="n"/>
      <c r="B7" s="4" t="n"/>
      <c r="C7" s="4" t="n"/>
      <c r="D7" s="4" t="n"/>
      <c r="E7" s="26">
        <f>N(E6)+N(D7)</f>
        <v/>
      </c>
      <c r="F7" s="26">
        <f>N($B$2)+N(E7)</f>
        <v/>
      </c>
      <c r="G7" s="15">
        <f>N(G6)+N(B7)+N(C7)</f>
        <v/>
      </c>
      <c r="H7" s="4" t="n"/>
    </row>
    <row r="8">
      <c r="A8" s="4" t="n"/>
      <c r="B8" s="4" t="n"/>
      <c r="C8" s="4" t="n"/>
      <c r="D8" s="4" t="n"/>
      <c r="E8" s="26">
        <f>N(E7)+N(D8)</f>
        <v/>
      </c>
      <c r="F8" s="26">
        <f>N($B$2)+N(E8)</f>
        <v/>
      </c>
      <c r="G8" s="15">
        <f>N(G7)+N(B8)+N(C8)</f>
        <v/>
      </c>
      <c r="H8" s="4" t="n"/>
    </row>
    <row r="9">
      <c r="A9" s="4" t="n"/>
      <c r="B9" s="4" t="n"/>
      <c r="C9" s="4" t="n"/>
      <c r="D9" s="4" t="n"/>
      <c r="E9" s="26">
        <f>N(E8)+N(D9)</f>
        <v/>
      </c>
      <c r="F9" s="26">
        <f>N($B$2)+N(E9)</f>
        <v/>
      </c>
      <c r="G9" s="15">
        <f>N(G8)+N(B9)+N(C9)</f>
        <v/>
      </c>
      <c r="H9" s="4" t="n"/>
    </row>
    <row r="10">
      <c r="A10" s="4" t="n"/>
      <c r="B10" s="4" t="n"/>
      <c r="C10" s="4" t="n"/>
      <c r="D10" s="4" t="n"/>
      <c r="E10" s="26">
        <f>N(E9)+N(D10)</f>
        <v/>
      </c>
      <c r="F10" s="26">
        <f>N($B$2)+N(E10)</f>
        <v/>
      </c>
      <c r="G10" s="15">
        <f>N(G9)+N(B10)+N(C10)</f>
        <v/>
      </c>
      <c r="H10" s="4" t="n"/>
    </row>
    <row r="11">
      <c r="A11" s="4" t="n"/>
      <c r="B11" s="4" t="n"/>
      <c r="C11" s="4" t="n"/>
      <c r="D11" s="4" t="n"/>
      <c r="E11" s="26">
        <f>N(E10)+N(D11)</f>
        <v/>
      </c>
      <c r="F11" s="26">
        <f>N($B$2)+N(E11)</f>
        <v/>
      </c>
      <c r="G11" s="15">
        <f>N(G10)+N(B11)+N(C11)</f>
        <v/>
      </c>
      <c r="H11" s="4" t="n"/>
    </row>
    <row r="12">
      <c r="A12" s="4" t="n"/>
      <c r="B12" s="4" t="n"/>
      <c r="C12" s="4" t="n"/>
      <c r="D12" s="4" t="n"/>
      <c r="E12" s="26">
        <f>N(E11)+N(D12)</f>
        <v/>
      </c>
      <c r="F12" s="26">
        <f>N($B$2)+N(E12)</f>
        <v/>
      </c>
      <c r="G12" s="15">
        <f>N(G11)+N(B12)+N(C12)</f>
        <v/>
      </c>
      <c r="H12" s="4" t="n"/>
    </row>
    <row r="13">
      <c r="A13" s="4" t="n"/>
      <c r="B13" s="4" t="n"/>
      <c r="C13" s="4" t="n"/>
      <c r="D13" s="4" t="n"/>
      <c r="E13" s="26">
        <f>N(E12)+N(D13)</f>
        <v/>
      </c>
      <c r="F13" s="26">
        <f>N($B$2)+N(E13)</f>
        <v/>
      </c>
      <c r="G13" s="15">
        <f>N(G12)+N(B13)+N(C13)</f>
        <v/>
      </c>
      <c r="H13" s="4" t="n"/>
    </row>
    <row r="14">
      <c r="A14" s="4" t="n"/>
      <c r="B14" s="4" t="n"/>
      <c r="C14" s="4" t="n"/>
      <c r="D14" s="4" t="n"/>
      <c r="E14" s="26">
        <f>N(E13)+N(D14)</f>
        <v/>
      </c>
      <c r="F14" s="26">
        <f>N($B$2)+N(E14)</f>
        <v/>
      </c>
      <c r="G14" s="15">
        <f>N(G13)+N(B14)+N(C14)</f>
        <v/>
      </c>
      <c r="H14" s="4" t="n"/>
    </row>
    <row r="15">
      <c r="A15" s="4" t="n"/>
      <c r="B15" s="4" t="n"/>
      <c r="C15" s="4" t="n"/>
      <c r="D15" s="4" t="n"/>
      <c r="E15" s="26">
        <f>N(E14)+N(D15)</f>
        <v/>
      </c>
      <c r="F15" s="26">
        <f>N($B$2)+N(E15)</f>
        <v/>
      </c>
      <c r="G15" s="15">
        <f>N(G14)+N(B15)+N(C15)</f>
        <v/>
      </c>
      <c r="H15" s="4" t="n"/>
    </row>
    <row r="16">
      <c r="A16" s="4" t="n"/>
      <c r="B16" s="4" t="n"/>
      <c r="C16" s="4" t="n"/>
      <c r="D16" s="4" t="n"/>
      <c r="E16" s="26">
        <f>N(E15)+N(D16)</f>
        <v/>
      </c>
      <c r="F16" s="26">
        <f>N($B$2)+N(E16)</f>
        <v/>
      </c>
      <c r="G16" s="15">
        <f>N(G15)+N(B16)+N(C16)</f>
        <v/>
      </c>
      <c r="H16" s="4" t="n"/>
    </row>
    <row r="17">
      <c r="A17" s="4" t="n"/>
      <c r="B17" s="4" t="n"/>
      <c r="C17" s="4" t="n"/>
      <c r="D17" s="4" t="n"/>
      <c r="E17" s="26">
        <f>N(E16)+N(D17)</f>
        <v/>
      </c>
      <c r="F17" s="26">
        <f>N($B$2)+N(E17)</f>
        <v/>
      </c>
      <c r="G17" s="15">
        <f>N(G16)+N(B17)+N(C17)</f>
        <v/>
      </c>
      <c r="H17" s="4" t="n"/>
    </row>
    <row r="18">
      <c r="A18" s="4" t="n"/>
      <c r="B18" s="4" t="n"/>
      <c r="C18" s="4" t="n"/>
      <c r="D18" s="4" t="n"/>
      <c r="E18" s="26">
        <f>N(E17)+N(D18)</f>
        <v/>
      </c>
      <c r="F18" s="26">
        <f>N($B$2)+N(E18)</f>
        <v/>
      </c>
      <c r="G18" s="15">
        <f>N(G17)+N(B18)+N(C18)</f>
        <v/>
      </c>
      <c r="H18" s="4" t="n"/>
    </row>
    <row r="19">
      <c r="A19" s="4" t="n"/>
      <c r="B19" s="4" t="n"/>
      <c r="C19" s="4" t="n"/>
      <c r="D19" s="4" t="n"/>
      <c r="E19" s="26">
        <f>N(E18)+N(D19)</f>
        <v/>
      </c>
      <c r="F19" s="26">
        <f>N($B$2)+N(E19)</f>
        <v/>
      </c>
      <c r="G19" s="15">
        <f>N(G18)+N(B19)+N(C19)</f>
        <v/>
      </c>
      <c r="H19" s="4" t="n"/>
    </row>
    <row r="20">
      <c r="A20" s="4" t="n"/>
      <c r="B20" s="4" t="n"/>
      <c r="C20" s="4" t="n"/>
      <c r="D20" s="4" t="n"/>
      <c r="E20" s="26">
        <f>N(E19)+N(D20)</f>
        <v/>
      </c>
      <c r="F20" s="26">
        <f>N($B$2)+N(E20)</f>
        <v/>
      </c>
      <c r="G20" s="15">
        <f>N(G19)+N(B20)+N(C20)</f>
        <v/>
      </c>
      <c r="H20" s="4" t="n"/>
    </row>
    <row r="21">
      <c r="A21" s="4" t="n"/>
      <c r="B21" s="4" t="n"/>
      <c r="C21" s="4" t="n"/>
      <c r="D21" s="4" t="n"/>
      <c r="E21" s="26">
        <f>N(E20)+N(D21)</f>
        <v/>
      </c>
      <c r="F21" s="26">
        <f>N($B$2)+N(E21)</f>
        <v/>
      </c>
      <c r="G21" s="15">
        <f>N(G20)+N(B21)+N(C21)</f>
        <v/>
      </c>
      <c r="H21" s="4" t="n"/>
    </row>
    <row r="22">
      <c r="A22" s="4" t="n"/>
      <c r="B22" s="4" t="n"/>
      <c r="C22" s="4" t="n"/>
      <c r="D22" s="4" t="n"/>
      <c r="E22" s="26">
        <f>N(E21)+N(D22)</f>
        <v/>
      </c>
      <c r="F22" s="26">
        <f>N($B$2)+N(E22)</f>
        <v/>
      </c>
      <c r="G22" s="15">
        <f>N(G21)+N(B22)+N(C22)</f>
        <v/>
      </c>
      <c r="H22" s="4" t="n"/>
    </row>
    <row r="23">
      <c r="A23" s="4" t="n"/>
      <c r="B23" s="4" t="n"/>
      <c r="C23" s="4" t="n"/>
      <c r="D23" s="4" t="n"/>
      <c r="E23" s="26">
        <f>N(E22)+N(D23)</f>
        <v/>
      </c>
      <c r="F23" s="26">
        <f>N($B$2)+N(E23)</f>
        <v/>
      </c>
      <c r="G23" s="15">
        <f>N(G22)+N(B23)+N(C23)</f>
        <v/>
      </c>
      <c r="H23" s="4" t="n"/>
    </row>
    <row r="24">
      <c r="A24" s="4" t="n"/>
      <c r="B24" s="4" t="n"/>
      <c r="C24" s="4" t="n"/>
      <c r="D24" s="4" t="n"/>
      <c r="E24" s="26">
        <f>N(E23)+N(D24)</f>
        <v/>
      </c>
      <c r="F24" s="26">
        <f>N($B$2)+N(E24)</f>
        <v/>
      </c>
      <c r="G24" s="15">
        <f>N(G23)+N(B24)+N(C24)</f>
        <v/>
      </c>
      <c r="H24" s="4" t="n"/>
    </row>
    <row r="25">
      <c r="A25" s="4" t="n"/>
      <c r="B25" s="4" t="n"/>
      <c r="C25" s="4" t="n"/>
      <c r="D25" s="4" t="n"/>
      <c r="E25" s="26">
        <f>N(E24)+N(D25)</f>
        <v/>
      </c>
      <c r="F25" s="26">
        <f>N($B$2)+N(E25)</f>
        <v/>
      </c>
      <c r="G25" s="15">
        <f>N(G24)+N(B25)+N(C25)</f>
        <v/>
      </c>
      <c r="H25" s="4" t="n"/>
    </row>
    <row r="26">
      <c r="A26" s="4" t="n"/>
      <c r="B26" s="4" t="n"/>
      <c r="C26" s="4" t="n"/>
      <c r="D26" s="4" t="n"/>
      <c r="E26" s="26">
        <f>N(E25)+N(D26)</f>
        <v/>
      </c>
      <c r="F26" s="26">
        <f>N($B$2)+N(E26)</f>
        <v/>
      </c>
      <c r="G26" s="15">
        <f>N(G25)+N(B26)+N(C26)</f>
        <v/>
      </c>
      <c r="H26" s="4" t="n"/>
    </row>
    <row r="27">
      <c r="A27" s="4" t="n"/>
      <c r="B27" s="4" t="n"/>
      <c r="C27" s="4" t="n"/>
      <c r="D27" s="4" t="n"/>
      <c r="E27" s="26">
        <f>N(E26)+N(D27)</f>
        <v/>
      </c>
      <c r="F27" s="26">
        <f>N($B$2)+N(E27)</f>
        <v/>
      </c>
      <c r="G27" s="15">
        <f>N(G26)+N(B27)+N(C27)</f>
        <v/>
      </c>
      <c r="H27" s="4" t="n"/>
    </row>
    <row r="28">
      <c r="A28" s="4" t="n"/>
      <c r="B28" s="4" t="n"/>
      <c r="C28" s="4" t="n"/>
      <c r="D28" s="4" t="n"/>
      <c r="E28" s="26">
        <f>N(E27)+N(D28)</f>
        <v/>
      </c>
      <c r="F28" s="26">
        <f>N($B$2)+N(E28)</f>
        <v/>
      </c>
      <c r="G28" s="15">
        <f>N(G27)+N(B28)+N(C28)</f>
        <v/>
      </c>
      <c r="H28" s="4" t="n"/>
    </row>
    <row r="29">
      <c r="A29" s="4" t="n"/>
      <c r="B29" s="4" t="n"/>
      <c r="C29" s="4" t="n"/>
      <c r="D29" s="4" t="n"/>
      <c r="E29" s="26">
        <f>N(E28)+N(D29)</f>
        <v/>
      </c>
      <c r="F29" s="26">
        <f>N($B$2)+N(E29)</f>
        <v/>
      </c>
      <c r="G29" s="15">
        <f>N(G28)+N(B29)+N(C29)</f>
        <v/>
      </c>
      <c r="H29" s="4" t="n"/>
    </row>
    <row r="30">
      <c r="A30" s="4" t="n"/>
      <c r="B30" s="4" t="n"/>
      <c r="C30" s="4" t="n"/>
      <c r="D30" s="4" t="n"/>
      <c r="E30" s="26">
        <f>N(E29)+N(D30)</f>
        <v/>
      </c>
      <c r="F30" s="26">
        <f>N($B$2)+N(E30)</f>
        <v/>
      </c>
      <c r="G30" s="15">
        <f>N(G29)+N(B30)+N(C30)</f>
        <v/>
      </c>
      <c r="H30" s="4" t="n"/>
    </row>
    <row r="31">
      <c r="A31" s="4" t="n"/>
      <c r="B31" s="4" t="n"/>
      <c r="C31" s="4" t="n"/>
      <c r="D31" s="4" t="n"/>
      <c r="E31" s="26">
        <f>N(E30)+N(D31)</f>
        <v/>
      </c>
      <c r="F31" s="26">
        <f>N($B$2)+N(E31)</f>
        <v/>
      </c>
      <c r="G31" s="15">
        <f>N(G30)+N(B31)+N(C31)</f>
        <v/>
      </c>
      <c r="H31" s="4" t="n"/>
    </row>
    <row r="32">
      <c r="A32" s="4" t="n"/>
      <c r="B32" s="4" t="n"/>
      <c r="C32" s="4" t="n"/>
      <c r="D32" s="4" t="n"/>
      <c r="E32" s="26">
        <f>N(E31)+N(D32)</f>
        <v/>
      </c>
      <c r="F32" s="26">
        <f>N($B$2)+N(E32)</f>
        <v/>
      </c>
      <c r="G32" s="15">
        <f>N(G31)+N(B32)+N(C32)</f>
        <v/>
      </c>
      <c r="H32" s="4" t="n"/>
    </row>
    <row r="33">
      <c r="A33" s="4" t="n"/>
      <c r="B33" s="4" t="n"/>
      <c r="C33" s="4" t="n"/>
      <c r="D33" s="4" t="n"/>
      <c r="E33" s="26">
        <f>N(E32)+N(D33)</f>
        <v/>
      </c>
      <c r="F33" s="26">
        <f>N($B$2)+N(E33)</f>
        <v/>
      </c>
      <c r="G33" s="15">
        <f>N(G32)+N(B33)+N(C33)</f>
        <v/>
      </c>
      <c r="H33" s="4" t="n"/>
    </row>
    <row r="34">
      <c r="A34" s="4" t="n"/>
      <c r="B34" s="4" t="n"/>
      <c r="C34" s="4" t="n"/>
      <c r="D34" s="4" t="n"/>
      <c r="E34" s="26">
        <f>N(E33)+N(D34)</f>
        <v/>
      </c>
      <c r="F34" s="26">
        <f>N($B$2)+N(E34)</f>
        <v/>
      </c>
      <c r="G34" s="15">
        <f>N(G33)+N(B34)+N(C34)</f>
        <v/>
      </c>
      <c r="H34" s="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Pick Card (fill this out before you bet)</t>
        </is>
      </c>
    </row>
    <row r="3" ht="20" customHeight="1">
      <c r="A3" s="5" t="inlineStr">
        <is>
          <t>Date</t>
        </is>
      </c>
      <c r="B3" s="4" t="inlineStr"/>
      <c r="C3" s="20" t="n"/>
      <c r="D3" s="20" t="n"/>
      <c r="E3" s="20" t="n"/>
      <c r="F3" s="20" t="n"/>
      <c r="G3" s="20" t="n"/>
      <c r="H3" s="20" t="n"/>
    </row>
    <row r="4" ht="20" customHeight="1">
      <c r="A4" s="5" t="inlineStr">
        <is>
          <t>Sport/League</t>
        </is>
      </c>
      <c r="B4" s="4" t="inlineStr"/>
      <c r="C4" s="20" t="n"/>
      <c r="D4" s="20" t="n"/>
      <c r="E4" s="20" t="n"/>
      <c r="F4" s="20" t="n"/>
      <c r="G4" s="20" t="n"/>
      <c r="H4" s="20" t="n"/>
    </row>
    <row r="5" ht="20" customHeight="1">
      <c r="A5" s="5" t="inlineStr">
        <is>
          <t>Market (Tier 1 only)</t>
        </is>
      </c>
      <c r="B5" s="4" t="inlineStr"/>
      <c r="C5" s="20" t="n"/>
      <c r="D5" s="20" t="n"/>
      <c r="E5" s="20" t="n"/>
      <c r="F5" s="20" t="n"/>
      <c r="G5" s="20" t="n"/>
      <c r="H5" s="20" t="n"/>
    </row>
    <row r="6" ht="20" customHeight="1">
      <c r="A6" s="5" t="inlineStr">
        <is>
          <t>Player / Team</t>
        </is>
      </c>
      <c r="B6" s="4" t="inlineStr"/>
      <c r="C6" s="20" t="n"/>
      <c r="D6" s="20" t="n"/>
      <c r="E6" s="20" t="n"/>
      <c r="F6" s="20" t="n"/>
      <c r="G6" s="20" t="n"/>
      <c r="H6" s="20" t="n"/>
    </row>
    <row r="7" ht="20" customHeight="1">
      <c r="A7" s="5" t="inlineStr">
        <is>
          <t>Prop (e.g., SOG Under)</t>
        </is>
      </c>
      <c r="B7" s="4" t="inlineStr"/>
      <c r="C7" s="20" t="n"/>
      <c r="D7" s="20" t="n"/>
      <c r="E7" s="20" t="n"/>
      <c r="F7" s="20" t="n"/>
      <c r="G7" s="20" t="n"/>
      <c r="H7" s="20" t="n"/>
    </row>
    <row r="8" ht="20" customHeight="1">
      <c r="A8" s="5" t="inlineStr">
        <is>
          <t>Line</t>
        </is>
      </c>
      <c r="B8" s="4" t="inlineStr"/>
      <c r="C8" s="20" t="n"/>
      <c r="D8" s="20" t="n"/>
      <c r="E8" s="20" t="n"/>
      <c r="F8" s="20" t="n"/>
      <c r="G8" s="20" t="n"/>
      <c r="H8" s="20" t="n"/>
    </row>
    <row r="9" ht="20" customHeight="1">
      <c r="A9" s="5" t="inlineStr">
        <is>
          <t>Odds / Book</t>
        </is>
      </c>
      <c r="B9" s="4" t="inlineStr"/>
      <c r="C9" s="20" t="n"/>
      <c r="D9" s="20" t="n"/>
      <c r="E9" s="20" t="n"/>
      <c r="F9" s="20" t="n"/>
      <c r="G9" s="20" t="n"/>
      <c r="H9" s="20" t="n"/>
    </row>
    <row r="10" ht="20" customHeight="1">
      <c r="A10" s="5" t="inlineStr">
        <is>
          <t>Your Projection</t>
        </is>
      </c>
      <c r="B10" s="4" t="inlineStr"/>
      <c r="C10" s="20" t="n"/>
      <c r="D10" s="20" t="n"/>
      <c r="E10" s="20" t="n"/>
      <c r="F10" s="20" t="n"/>
      <c r="G10" s="20" t="n"/>
      <c r="H10" s="20" t="n"/>
    </row>
    <row r="11" ht="20" customHeight="1">
      <c r="A11" s="5" t="inlineStr">
        <is>
          <t>Edge %</t>
        </is>
      </c>
      <c r="B11" s="4" t="inlineStr"/>
      <c r="C11" s="20" t="n"/>
      <c r="D11" s="20" t="n"/>
      <c r="E11" s="20" t="n"/>
      <c r="F11" s="20" t="n"/>
      <c r="G11" s="20" t="n"/>
      <c r="H11" s="20" t="n"/>
    </row>
    <row r="12" ht="20" customHeight="1">
      <c r="A12" s="5" t="inlineStr">
        <is>
          <t>Confidence (HIGH/MED/LOW)</t>
        </is>
      </c>
      <c r="B12" s="4" t="inlineStr"/>
      <c r="C12" s="20" t="n"/>
      <c r="D12" s="20" t="n"/>
      <c r="E12" s="20" t="n"/>
      <c r="F12" s="20" t="n"/>
      <c r="G12" s="20" t="n"/>
      <c r="H12" s="20" t="n"/>
    </row>
    <row r="13" ht="20" customHeight="1">
      <c r="A13" s="5" t="inlineStr">
        <is>
          <t>Confirmations (injury/goalie)</t>
        </is>
      </c>
      <c r="B13" s="4" t="inlineStr"/>
      <c r="C13" s="20" t="n"/>
      <c r="D13" s="20" t="n"/>
      <c r="E13" s="20" t="n"/>
      <c r="F13" s="20" t="n"/>
      <c r="G13" s="20" t="n"/>
      <c r="H13" s="20" t="n"/>
    </row>
    <row r="14" ht="20" customHeight="1">
      <c r="A14" s="5" t="inlineStr">
        <is>
          <t>Decision (BET/SKIP/STOP)</t>
        </is>
      </c>
      <c r="B14" s="4" t="inlineStr"/>
      <c r="C14" s="20" t="n"/>
      <c r="D14" s="20" t="n"/>
      <c r="E14" s="20" t="n"/>
      <c r="F14" s="20" t="n"/>
      <c r="G14" s="20" t="n"/>
      <c r="H14" s="20" t="n"/>
    </row>
    <row r="15" ht="20" customHeight="1">
      <c r="A15" s="5" t="inlineStr">
        <is>
          <t>Stake ($)</t>
        </is>
      </c>
      <c r="B15" s="4" t="inlineStr"/>
      <c r="C15" s="20" t="n"/>
      <c r="D15" s="20" t="n"/>
      <c r="E15" s="20" t="n"/>
      <c r="F15" s="20" t="n"/>
      <c r="G15" s="20" t="n"/>
      <c r="H15" s="20" t="n"/>
    </row>
    <row r="16" ht="20" customHeight="1">
      <c r="A16" s="5" t="inlineStr">
        <is>
          <t>Notes</t>
        </is>
      </c>
      <c r="B16" s="4" t="inlineStr"/>
      <c r="C16" s="20" t="n"/>
      <c r="D16" s="20" t="n"/>
      <c r="E16" s="20" t="n"/>
      <c r="F16" s="20" t="n"/>
      <c r="G16" s="20" t="n"/>
      <c r="H16" s="20" t="n"/>
    </row>
  </sheetData>
  <mergeCells count="15">
    <mergeCell ref="B8:H8"/>
    <mergeCell ref="B14:H14"/>
    <mergeCell ref="B9:H9"/>
    <mergeCell ref="B13:H13"/>
    <mergeCell ref="B4:H4"/>
    <mergeCell ref="B12:H12"/>
    <mergeCell ref="B6:H6"/>
    <mergeCell ref="B16:H16"/>
    <mergeCell ref="B15:H15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2026-01-07T04:53:48Z</dcterms:created>
  <dcterms:modified xmlns:dcterms="http://purl.org/dc/terms/" xmlns:xsi="http://www.w3.org/2001/XMLSchema-instance" xsi:type="dcterms:W3CDTF">2026-01-07T04:53:49Z</dcterms:modified>
</cp:coreProperties>
</file>