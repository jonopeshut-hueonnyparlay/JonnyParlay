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izer" sheetId="2" r:id="rId2"/>
  </sheets>
  <definedNames>
    <definedName name="_xlnm._FilterDatabase" localSheetId="1" hidden="1">Sizer!$A$5:$F$20</definedName>
  </definedNames>
  <calcPr calcId="124519" fullCalcOnLoad="1"/>
</workbook>
</file>

<file path=xl/sharedStrings.xml><?xml version="1.0" encoding="utf-8"?>
<sst xmlns="http://schemas.openxmlformats.org/spreadsheetml/2006/main" count="53" uniqueCount="22">
  <si>
    <t>Opening Range Breakout — Personal Position Sizer</t>
  </si>
  <si>
    <t>Generated: 2025-08-21 04:22 MT</t>
  </si>
  <si>
    <t>Edit the yellow cells only. Your changes auto-flow to the Sizer tab.</t>
  </si>
  <si>
    <t>Your fixed R ($ risk per trade):</t>
  </si>
  <si>
    <t>Primary options delta (e.g., 0.40):</t>
  </si>
  <si>
    <t>Secondary options delta (e.g., 0.50):</t>
  </si>
  <si>
    <t>Typical stop sizes you observe (in $):</t>
  </si>
  <si>
    <t>SPY</t>
  </si>
  <si>
    <t>Stops ($)</t>
  </si>
  <si>
    <t>AAPL</t>
  </si>
  <si>
    <t>Position Sizer (auto-calculated)</t>
  </si>
  <si>
    <t>Formulae: Shares = R ÷ Stop.  Options ≈ Shares ÷ (Δ × 100).  Always round down.</t>
  </si>
  <si>
    <t>Symbol</t>
  </si>
  <si>
    <t>Stop ($)</t>
  </si>
  <si>
    <t>R ($)</t>
  </si>
  <si>
    <t>Shares</t>
  </si>
  <si>
    <t>Contracts @ Primary Δ</t>
  </si>
  <si>
    <t>Contracts @ Secondary Δ</t>
  </si>
  <si>
    <t>Notes:</t>
  </si>
  <si>
    <t>- Edit your R and deltas in the Inputs tab. Add/remove stop sizes to match your trades.</t>
  </si>
  <si>
    <t>- Contracts columns are rough for long options. Vertical spreads hard-cap risk and can use similar sizing.</t>
  </si>
  <si>
    <t>- Keep discipline: max 2 losses in a row or −2R → stop for the day.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</si>
</sst>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2" width="12.7109375" customWidth="1"/>
    <col min="4" max="5" width="1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2" t="s">
        <v>2</v>
      </c>
    </row>
    <row r="6" spans="1:5">
      <c r="A6" s="3" t="s">
        <v>3</v>
      </c>
      <c r="B6" s="4">
        <v>50</v>
      </c>
    </row>
    <row r="8" spans="1:5">
      <c r="A8" s="3" t="s">
        <v>4</v>
      </c>
      <c r="B8" s="4">
        <v>0.4</v>
      </c>
    </row>
    <row r="9" spans="1:5">
      <c r="A9" s="3" t="s">
        <v>5</v>
      </c>
      <c r="B9" s="4">
        <v>0.5</v>
      </c>
    </row>
    <row r="11" spans="1:5">
      <c r="A11" s="3" t="s">
        <v>6</v>
      </c>
    </row>
    <row r="12" spans="1:5">
      <c r="A12" s="5" t="s">
        <v>7</v>
      </c>
      <c r="B12" s="5" t="s">
        <v>8</v>
      </c>
      <c r="D12" s="5" t="s">
        <v>9</v>
      </c>
      <c r="E12" s="5" t="s">
        <v>8</v>
      </c>
    </row>
    <row r="13" spans="1:5">
      <c r="A13" s="6" t="s">
        <v>7</v>
      </c>
      <c r="B13" s="4">
        <v>0.1</v>
      </c>
      <c r="D13" s="6" t="s">
        <v>9</v>
      </c>
      <c r="E13" s="4">
        <v>0.05</v>
      </c>
    </row>
    <row r="14" spans="1:5">
      <c r="A14" s="6" t="s">
        <v>7</v>
      </c>
      <c r="B14" s="4">
        <v>0.15</v>
      </c>
      <c r="D14" s="6" t="s">
        <v>9</v>
      </c>
      <c r="E14" s="4">
        <v>0.1</v>
      </c>
    </row>
    <row r="15" spans="1:5">
      <c r="A15" s="6" t="s">
        <v>7</v>
      </c>
      <c r="B15" s="4">
        <v>0.2</v>
      </c>
      <c r="D15" s="6" t="s">
        <v>9</v>
      </c>
      <c r="E15" s="4">
        <v>0.15</v>
      </c>
    </row>
    <row r="16" spans="1:5">
      <c r="A16" s="6" t="s">
        <v>7</v>
      </c>
      <c r="B16" s="4">
        <v>0.3</v>
      </c>
      <c r="D16" s="6" t="s">
        <v>9</v>
      </c>
      <c r="E16" s="4">
        <v>0.2</v>
      </c>
    </row>
    <row r="17" spans="1:5">
      <c r="A17" s="6" t="s">
        <v>7</v>
      </c>
      <c r="B17" s="4">
        <v>0.4</v>
      </c>
      <c r="D17" s="6" t="s">
        <v>9</v>
      </c>
      <c r="E17" s="4">
        <v>0.3</v>
      </c>
    </row>
    <row r="18" spans="1:5">
      <c r="A18" s="6" t="s">
        <v>7</v>
      </c>
      <c r="B18" s="4">
        <v>0.5</v>
      </c>
      <c r="D18" s="6" t="s">
        <v>9</v>
      </c>
      <c r="E18" s="4">
        <v>0.4</v>
      </c>
    </row>
    <row r="19" spans="1:5">
      <c r="A19" s="6" t="s">
        <v>7</v>
      </c>
      <c r="B19" s="4">
        <v>0.75</v>
      </c>
      <c r="D19" s="6" t="s">
        <v>9</v>
      </c>
      <c r="E19" s="4">
        <v>0.5</v>
      </c>
    </row>
    <row r="20" spans="1:5">
      <c r="A20" s="6" t="s">
        <v>7</v>
      </c>
      <c r="B20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5" topLeftCell="A6" activePane="bottomLeft" state="frozen"/>
      <selection pane="bottomLeft"/>
    </sheetView>
  </sheetViews>
  <sheetFormatPr defaultRowHeight="15"/>
  <cols>
    <col min="1" max="2" width="10.7109375" customWidth="1"/>
    <col min="3" max="3" width="8.7109375" customWidth="1"/>
    <col min="4" max="6" width="22.7109375" customWidth="1"/>
  </cols>
  <sheetData>
    <row r="1" spans="1:6">
      <c r="A1" s="1" t="s">
        <v>10</v>
      </c>
    </row>
    <row r="2" spans="1:6">
      <c r="A2" s="2" t="s">
        <v>11</v>
      </c>
    </row>
    <row r="5" spans="1:6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</row>
    <row r="6" spans="1:6">
      <c r="A6" s="6" t="s">
        <v>7</v>
      </c>
      <c r="B6" s="7">
        <f>Inputs!$B$13</f>
        <v>0</v>
      </c>
      <c r="C6" s="7">
        <f>Inputs!$B$6</f>
        <v>0</v>
      </c>
      <c r="D6" s="8">
        <f>FLOOR(Inputs!$B$6/Inputs!$B$13,1)</f>
        <v>0</v>
      </c>
      <c r="E6" s="8">
        <f>FLOOR(Inputs!$B$6/Inputs!$B$13/(Inputs!$B$8*100),1)</f>
        <v>0</v>
      </c>
      <c r="F6" s="8">
        <f>FLOOR(Inputs!$B$6/Inputs!$B$13/(Inputs!$B$9*100),1)</f>
        <v>0</v>
      </c>
    </row>
    <row r="7" spans="1:6">
      <c r="A7" s="6" t="s">
        <v>9</v>
      </c>
      <c r="B7" s="7">
        <f>Inputs!$E$13</f>
        <v>0</v>
      </c>
      <c r="C7" s="7">
        <f>Inputs!$B$6</f>
        <v>0</v>
      </c>
      <c r="D7" s="8">
        <f>FLOOR(Inputs!$B$6/Inputs!$E$13,1)</f>
        <v>0</v>
      </c>
      <c r="E7" s="8">
        <f>FLOOR(Inputs!$B$6/Inputs!$E$13/(Inputs!$B$8*100),1)</f>
        <v>0</v>
      </c>
      <c r="F7" s="8">
        <f>FLOOR(Inputs!$B$6/Inputs!$E$13/(Inputs!$B$9*100),1)</f>
        <v>0</v>
      </c>
    </row>
    <row r="8" spans="1:6">
      <c r="A8" s="6" t="s">
        <v>7</v>
      </c>
      <c r="B8" s="7">
        <f>Inputs!$B$14</f>
        <v>0</v>
      </c>
      <c r="C8" s="7">
        <f>Inputs!$B$6</f>
        <v>0</v>
      </c>
      <c r="D8" s="8">
        <f>FLOOR(Inputs!$B$6/Inputs!$B$14,1)</f>
        <v>0</v>
      </c>
      <c r="E8" s="8">
        <f>FLOOR(Inputs!$B$6/Inputs!$B$14/(Inputs!$B$8*100),1)</f>
        <v>0</v>
      </c>
      <c r="F8" s="8">
        <f>FLOOR(Inputs!$B$6/Inputs!$B$14/(Inputs!$B$9*100),1)</f>
        <v>0</v>
      </c>
    </row>
    <row r="9" spans="1:6">
      <c r="A9" s="6" t="s">
        <v>9</v>
      </c>
      <c r="B9" s="7">
        <f>Inputs!$E$14</f>
        <v>0</v>
      </c>
      <c r="C9" s="7">
        <f>Inputs!$B$6</f>
        <v>0</v>
      </c>
      <c r="D9" s="8">
        <f>FLOOR(Inputs!$B$6/Inputs!$E$14,1)</f>
        <v>0</v>
      </c>
      <c r="E9" s="8">
        <f>FLOOR(Inputs!$B$6/Inputs!$E$14/(Inputs!$B$8*100),1)</f>
        <v>0</v>
      </c>
      <c r="F9" s="8">
        <f>FLOOR(Inputs!$B$6/Inputs!$E$14/(Inputs!$B$9*100),1)</f>
        <v>0</v>
      </c>
    </row>
    <row r="10" spans="1:6">
      <c r="A10" s="6" t="s">
        <v>7</v>
      </c>
      <c r="B10" s="7">
        <f>Inputs!$B$15</f>
        <v>0</v>
      </c>
      <c r="C10" s="7">
        <f>Inputs!$B$6</f>
        <v>0</v>
      </c>
      <c r="D10" s="8">
        <f>FLOOR(Inputs!$B$6/Inputs!$B$15,1)</f>
        <v>0</v>
      </c>
      <c r="E10" s="8">
        <f>FLOOR(Inputs!$B$6/Inputs!$B$15/(Inputs!$B$8*100),1)</f>
        <v>0</v>
      </c>
      <c r="F10" s="8">
        <f>FLOOR(Inputs!$B$6/Inputs!$B$15/(Inputs!$B$9*100),1)</f>
        <v>0</v>
      </c>
    </row>
    <row r="11" spans="1:6">
      <c r="A11" s="6" t="s">
        <v>9</v>
      </c>
      <c r="B11" s="7">
        <f>Inputs!$E$15</f>
        <v>0</v>
      </c>
      <c r="C11" s="7">
        <f>Inputs!$B$6</f>
        <v>0</v>
      </c>
      <c r="D11" s="8">
        <f>FLOOR(Inputs!$B$6/Inputs!$E$15,1)</f>
        <v>0</v>
      </c>
      <c r="E11" s="8">
        <f>FLOOR(Inputs!$B$6/Inputs!$E$15/(Inputs!$B$8*100),1)</f>
        <v>0</v>
      </c>
      <c r="F11" s="8">
        <f>FLOOR(Inputs!$B$6/Inputs!$E$15/(Inputs!$B$9*100),1)</f>
        <v>0</v>
      </c>
    </row>
    <row r="12" spans="1:6">
      <c r="A12" s="6" t="s">
        <v>7</v>
      </c>
      <c r="B12" s="7">
        <f>Inputs!$B$16</f>
        <v>0</v>
      </c>
      <c r="C12" s="7">
        <f>Inputs!$B$6</f>
        <v>0</v>
      </c>
      <c r="D12" s="8">
        <f>FLOOR(Inputs!$B$6/Inputs!$B$16,1)</f>
        <v>0</v>
      </c>
      <c r="E12" s="8">
        <f>FLOOR(Inputs!$B$6/Inputs!$B$16/(Inputs!$B$8*100),1)</f>
        <v>0</v>
      </c>
      <c r="F12" s="8">
        <f>FLOOR(Inputs!$B$6/Inputs!$B$16/(Inputs!$B$9*100),1)</f>
        <v>0</v>
      </c>
    </row>
    <row r="13" spans="1:6">
      <c r="A13" s="6" t="s">
        <v>9</v>
      </c>
      <c r="B13" s="7">
        <f>Inputs!$E$16</f>
        <v>0</v>
      </c>
      <c r="C13" s="7">
        <f>Inputs!$B$6</f>
        <v>0</v>
      </c>
      <c r="D13" s="8">
        <f>FLOOR(Inputs!$B$6/Inputs!$E$16,1)</f>
        <v>0</v>
      </c>
      <c r="E13" s="8">
        <f>FLOOR(Inputs!$B$6/Inputs!$E$16/(Inputs!$B$8*100),1)</f>
        <v>0</v>
      </c>
      <c r="F13" s="8">
        <f>FLOOR(Inputs!$B$6/Inputs!$E$16/(Inputs!$B$9*100),1)</f>
        <v>0</v>
      </c>
    </row>
    <row r="14" spans="1:6">
      <c r="A14" s="6" t="s">
        <v>7</v>
      </c>
      <c r="B14" s="7">
        <f>Inputs!$B$17</f>
        <v>0</v>
      </c>
      <c r="C14" s="7">
        <f>Inputs!$B$6</f>
        <v>0</v>
      </c>
      <c r="D14" s="8">
        <f>FLOOR(Inputs!$B$6/Inputs!$B$17,1)</f>
        <v>0</v>
      </c>
      <c r="E14" s="8">
        <f>FLOOR(Inputs!$B$6/Inputs!$B$17/(Inputs!$B$8*100),1)</f>
        <v>0</v>
      </c>
      <c r="F14" s="8">
        <f>FLOOR(Inputs!$B$6/Inputs!$B$17/(Inputs!$B$9*100),1)</f>
        <v>0</v>
      </c>
    </row>
    <row r="15" spans="1:6">
      <c r="A15" s="6" t="s">
        <v>9</v>
      </c>
      <c r="B15" s="7">
        <f>Inputs!$E$17</f>
        <v>0</v>
      </c>
      <c r="C15" s="7">
        <f>Inputs!$B$6</f>
        <v>0</v>
      </c>
      <c r="D15" s="8">
        <f>FLOOR(Inputs!$B$6/Inputs!$E$17,1)</f>
        <v>0</v>
      </c>
      <c r="E15" s="8">
        <f>FLOOR(Inputs!$B$6/Inputs!$E$17/(Inputs!$B$8*100),1)</f>
        <v>0</v>
      </c>
      <c r="F15" s="8">
        <f>FLOOR(Inputs!$B$6/Inputs!$E$17/(Inputs!$B$9*100),1)</f>
        <v>0</v>
      </c>
    </row>
    <row r="16" spans="1:6">
      <c r="A16" s="6" t="s">
        <v>7</v>
      </c>
      <c r="B16" s="7">
        <f>Inputs!$B$18</f>
        <v>0</v>
      </c>
      <c r="C16" s="7">
        <f>Inputs!$B$6</f>
        <v>0</v>
      </c>
      <c r="D16" s="8">
        <f>FLOOR(Inputs!$B$6/Inputs!$B$18,1)</f>
        <v>0</v>
      </c>
      <c r="E16" s="8">
        <f>FLOOR(Inputs!$B$6/Inputs!$B$18/(Inputs!$B$8*100),1)</f>
        <v>0</v>
      </c>
      <c r="F16" s="8">
        <f>FLOOR(Inputs!$B$6/Inputs!$B$18/(Inputs!$B$9*100),1)</f>
        <v>0</v>
      </c>
    </row>
    <row r="17" spans="1:6">
      <c r="A17" s="6" t="s">
        <v>9</v>
      </c>
      <c r="B17" s="7">
        <f>Inputs!$E$18</f>
        <v>0</v>
      </c>
      <c r="C17" s="7">
        <f>Inputs!$B$6</f>
        <v>0</v>
      </c>
      <c r="D17" s="8">
        <f>FLOOR(Inputs!$B$6/Inputs!$E$18,1)</f>
        <v>0</v>
      </c>
      <c r="E17" s="8">
        <f>FLOOR(Inputs!$B$6/Inputs!$E$18/(Inputs!$B$8*100),1)</f>
        <v>0</v>
      </c>
      <c r="F17" s="8">
        <f>FLOOR(Inputs!$B$6/Inputs!$E$18/(Inputs!$B$9*100),1)</f>
        <v>0</v>
      </c>
    </row>
    <row r="18" spans="1:6">
      <c r="A18" s="6" t="s">
        <v>7</v>
      </c>
      <c r="B18" s="7">
        <f>Inputs!$B$19</f>
        <v>0</v>
      </c>
      <c r="C18" s="7">
        <f>Inputs!$B$6</f>
        <v>0</v>
      </c>
      <c r="D18" s="8">
        <f>FLOOR(Inputs!$B$6/Inputs!$B$19,1)</f>
        <v>0</v>
      </c>
      <c r="E18" s="8">
        <f>FLOOR(Inputs!$B$6/Inputs!$B$19/(Inputs!$B$8*100),1)</f>
        <v>0</v>
      </c>
      <c r="F18" s="8">
        <f>FLOOR(Inputs!$B$6/Inputs!$B$19/(Inputs!$B$9*100),1)</f>
        <v>0</v>
      </c>
    </row>
    <row r="19" spans="1:6">
      <c r="A19" s="6" t="s">
        <v>9</v>
      </c>
      <c r="B19" s="7">
        <f>Inputs!$E$19</f>
        <v>0</v>
      </c>
      <c r="C19" s="7">
        <f>Inputs!$B$6</f>
        <v>0</v>
      </c>
      <c r="D19" s="8">
        <f>FLOOR(Inputs!$B$6/Inputs!$E$19,1)</f>
        <v>0</v>
      </c>
      <c r="E19" s="8">
        <f>FLOOR(Inputs!$B$6/Inputs!$E$19/(Inputs!$B$8*100),1)</f>
        <v>0</v>
      </c>
      <c r="F19" s="8">
        <f>FLOOR(Inputs!$B$6/Inputs!$E$19/(Inputs!$B$9*100),1)</f>
        <v>0</v>
      </c>
    </row>
    <row r="20" spans="1:6">
      <c r="A20" s="6" t="s">
        <v>7</v>
      </c>
      <c r="B20" s="7">
        <f>Inputs!$B$20</f>
        <v>0</v>
      </c>
      <c r="C20" s="7">
        <f>Inputs!$B$6</f>
        <v>0</v>
      </c>
      <c r="D20" s="8">
        <f>FLOOR(Inputs!$B$6/Inputs!$B$20,1)</f>
        <v>0</v>
      </c>
      <c r="E20" s="8">
        <f>FLOOR(Inputs!$B$6/Inputs!$B$20/(Inputs!$B$8*100),1)</f>
        <v>0</v>
      </c>
      <c r="F20" s="8">
        <f>FLOOR(Inputs!$B$6/Inputs!$B$20/(Inputs!$B$9*100),1)</f>
        <v>0</v>
      </c>
    </row>
    <row r="22" spans="1:6">
      <c r="A22" s="3" t="s">
        <v>18</v>
      </c>
    </row>
    <row r="23" spans="1:6">
      <c r="A23" s="2" t="s">
        <v>19</v>
      </c>
    </row>
    <row r="24" spans="1:6">
      <c r="A24" s="2" t="s">
        <v>20</v>
      </c>
    </row>
    <row r="25" spans="1:6">
      <c r="A25" s="2" t="s">
        <v>21</v>
      </c>
    </row>
  </sheetData>
  <autoFilter ref="A5:F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Sizer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2025-08-21T04:22:06Z</dcterms:created>
  <dcterms:modified xsi:type="dcterms:W3CDTF">2025-08-21T04:22:06Z</dcterms:modified>
</cp:coreProperties>
</file>